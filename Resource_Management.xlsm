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unice.wangui\Desktop\"/>
    </mc:Choice>
  </mc:AlternateContent>
  <xr:revisionPtr revIDLastSave="0" documentId="8_{4A1EBCFC-5CB2-4426-830F-D4AC17D6ABAD}" xr6:coauthVersionLast="47" xr6:coauthVersionMax="47" xr10:uidLastSave="{00000000-0000-0000-0000-000000000000}"/>
  <bookViews>
    <workbookView xWindow="-120" yWindow="-120" windowWidth="19440" windowHeight="15000" xr2:uid="{A62E8180-0005-4F77-A71E-91549BCC9EF3}"/>
  </bookViews>
  <sheets>
    <sheet name="YearlySchedule" sheetId="1" r:id="rId1"/>
    <sheet name="Holidays" sheetId="2" r:id="rId2"/>
    <sheet name="Duration" sheetId="3" r:id="rId3"/>
    <sheet name="Leave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E6" i="1" s="1"/>
  <c r="E8" i="1" s="1"/>
  <c r="E7" i="1" l="1"/>
  <c r="AM6" i="1"/>
  <c r="AM8" i="1" s="1"/>
  <c r="AF6" i="1"/>
  <c r="T6" i="1"/>
  <c r="L6" i="1"/>
  <c r="AT6" i="1"/>
  <c r="AT8" i="1" s="1"/>
  <c r="AP6" i="1"/>
  <c r="AP8" i="1" s="1"/>
  <c r="AL6" i="1"/>
  <c r="AL8" i="1" s="1"/>
  <c r="AH6" i="1"/>
  <c r="AE6" i="1"/>
  <c r="AA6" i="1"/>
  <c r="W6" i="1"/>
  <c r="S6" i="1"/>
  <c r="O6" i="1"/>
  <c r="K6" i="1"/>
  <c r="G6" i="1"/>
  <c r="AQ6" i="1"/>
  <c r="AQ8" i="1" s="1"/>
  <c r="AB6" i="1"/>
  <c r="P6" i="1"/>
  <c r="H6" i="1"/>
  <c r="AS6" i="1"/>
  <c r="AS8" i="1" s="1"/>
  <c r="AO6" i="1"/>
  <c r="AO8" i="1" s="1"/>
  <c r="AK6" i="1"/>
  <c r="AK8" i="1" s="1"/>
  <c r="AG6" i="1"/>
  <c r="AD6" i="1"/>
  <c r="Z6" i="1"/>
  <c r="V6" i="1"/>
  <c r="R6" i="1"/>
  <c r="N6" i="1"/>
  <c r="J6" i="1"/>
  <c r="F6" i="1"/>
  <c r="F7" i="1" s="1"/>
  <c r="AI6" i="1"/>
  <c r="AI8" i="1" s="1"/>
  <c r="X6" i="1"/>
  <c r="D6" i="1"/>
  <c r="AR6" i="1"/>
  <c r="AR8" i="1" s="1"/>
  <c r="AN6" i="1"/>
  <c r="AN8" i="1" s="1"/>
  <c r="AJ6" i="1"/>
  <c r="AJ8" i="1" s="1"/>
  <c r="AC6" i="1"/>
  <c r="Y6" i="1"/>
  <c r="U6" i="1"/>
  <c r="Q6" i="1"/>
  <c r="M6" i="1"/>
  <c r="I6" i="1"/>
  <c r="AX6" i="1"/>
  <c r="BG6" i="1"/>
  <c r="AY6" i="1"/>
  <c r="BF6" i="1"/>
  <c r="BA6" i="1"/>
  <c r="BC6" i="1"/>
  <c r="AU6" i="1"/>
  <c r="AU8" i="1" s="1"/>
  <c r="BB6" i="1"/>
  <c r="C6" i="1"/>
  <c r="C7" i="1" s="1"/>
  <c r="BE6" i="1"/>
  <c r="AW6" i="1"/>
  <c r="AW8" i="1" s="1"/>
  <c r="BD6" i="1"/>
  <c r="AZ6" i="1"/>
  <c r="AV6" i="1"/>
  <c r="AV8" i="1" s="1"/>
  <c r="AF8" i="1" l="1"/>
  <c r="AF7" i="1"/>
  <c r="AG8" i="1"/>
  <c r="AG7" i="1"/>
  <c r="R8" i="1"/>
  <c r="R7" i="1"/>
  <c r="H8" i="1"/>
  <c r="H7" i="1"/>
  <c r="G8" i="1"/>
  <c r="G7" i="1"/>
  <c r="W8" i="1"/>
  <c r="W7" i="1"/>
  <c r="T8" i="1"/>
  <c r="T7" i="1"/>
  <c r="I8" i="1"/>
  <c r="I7" i="1"/>
  <c r="Y8" i="1"/>
  <c r="Y7" i="1"/>
  <c r="F8" i="1"/>
  <c r="V8" i="1"/>
  <c r="V7" i="1"/>
  <c r="P8" i="1"/>
  <c r="P7" i="1"/>
  <c r="K8" i="1"/>
  <c r="K7" i="1"/>
  <c r="AA8" i="1"/>
  <c r="AA7" i="1"/>
  <c r="U8" i="1"/>
  <c r="U7" i="1"/>
  <c r="M8" i="1"/>
  <c r="M7" i="1"/>
  <c r="AC8" i="1"/>
  <c r="AC7" i="1"/>
  <c r="D8" i="1"/>
  <c r="D7" i="1"/>
  <c r="J8" i="1"/>
  <c r="J7" i="1"/>
  <c r="Z8" i="1"/>
  <c r="Z7" i="1"/>
  <c r="AB8" i="1"/>
  <c r="AB7" i="1"/>
  <c r="O8" i="1"/>
  <c r="O7" i="1"/>
  <c r="AE8" i="1"/>
  <c r="AE7" i="1"/>
  <c r="Q8" i="1"/>
  <c r="Q7" i="1"/>
  <c r="X8" i="1"/>
  <c r="X7" i="1"/>
  <c r="N8" i="1"/>
  <c r="N7" i="1"/>
  <c r="AD8" i="1"/>
  <c r="AD7" i="1"/>
  <c r="S8" i="1"/>
  <c r="S7" i="1"/>
  <c r="L8" i="1"/>
  <c r="L7" i="1"/>
  <c r="C8" i="1"/>
</calcChain>
</file>

<file path=xl/sharedStrings.xml><?xml version="1.0" encoding="utf-8"?>
<sst xmlns="http://schemas.openxmlformats.org/spreadsheetml/2006/main" count="166" uniqueCount="44">
  <si>
    <t>Holiday</t>
  </si>
  <si>
    <t>Date</t>
  </si>
  <si>
    <t>New Year Day</t>
  </si>
  <si>
    <t>Madaraka Day</t>
  </si>
  <si>
    <t>Labor Day</t>
  </si>
  <si>
    <t>Easter Monday</t>
  </si>
  <si>
    <t>Mashujaa Day</t>
  </si>
  <si>
    <t>Jamhuri Day</t>
  </si>
  <si>
    <t>Good Friday</t>
  </si>
  <si>
    <t>Christmas Day</t>
  </si>
  <si>
    <t>Huduma 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</si>
  <si>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</si>
  <si>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</si>
  <si>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</si>
  <si>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</si>
  <si>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</si>
  <si>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</si>
  <si>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</si>
  <si>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</si>
  <si>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</si>
  <si>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</si>
  <si>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</si>
  <si>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</si>
  <si>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</si>
  <si>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Year</t>
  </si>
  <si>
    <t>Names</t>
  </si>
  <si>
    <t>Dorothy</t>
  </si>
  <si>
    <t>Bilgram</t>
  </si>
  <si>
    <t xml:space="preserve">Ivy </t>
  </si>
  <si>
    <t>start</t>
  </si>
  <si>
    <t>End</t>
  </si>
  <si>
    <t>Day</t>
  </si>
  <si>
    <t>Months</t>
  </si>
  <si>
    <t>years</t>
  </si>
  <si>
    <t>Steve</t>
  </si>
  <si>
    <t>HQ</t>
  </si>
  <si>
    <t>Home</t>
  </si>
  <si>
    <t>Gath</t>
  </si>
  <si>
    <t>Employee Names</t>
  </si>
  <si>
    <t>Leave Start Date</t>
  </si>
  <si>
    <t>Leave End Date</t>
  </si>
  <si>
    <t>Assigned</t>
  </si>
  <si>
    <t>Off</t>
  </si>
  <si>
    <t>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</si>
</sst>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3" borderId="1" xfId="0" applyFont="1" applyFill="1" applyBorder="1"/>
    <xf numFmtId="0" fontId="3" fillId="0" borderId="1" xfId="0" applyFont="1" applyBorder="1"/>
    <xf numFmtId="0" fontId="3" fillId="3" borderId="2" xfId="0" applyFont="1" applyFill="1" applyBorder="1"/>
    <xf numFmtId="0" fontId="0" fillId="0" borderId="1" xfId="0" applyBorder="1"/>
    <xf numFmtId="0" fontId="1" fillId="0" borderId="0" xfId="0" applyFont="1"/>
    <xf numFmtId="0" fontId="0" fillId="0" borderId="0" xfId="0" applyAlignment="1">
      <alignment horizontal="center" vertical="top"/>
    </xf>
    <xf numFmtId="0" fontId="0" fillId="0" borderId="1" xfId="0" applyBorder="1" applyAlignment="1">
      <alignment horizontal="center" vertical="top"/>
    </xf>
    <xf numFmtId="14" fontId="0" fillId="0" borderId="0" xfId="0" applyNumberFormat="1" applyAlignment="1">
      <alignment horizontal="center" vertical="top"/>
    </xf>
    <xf numFmtId="14" fontId="0" fillId="0" borderId="1" xfId="0" applyNumberFormat="1" applyBorder="1" applyAlignment="1">
      <alignment horizontal="center" vertical="top"/>
    </xf>
    <xf numFmtId="14" fontId="0" fillId="0" borderId="0" xfId="0" applyNumberFormat="1"/>
    <xf numFmtId="14" fontId="3" fillId="3" borderId="1" xfId="0" applyNumberFormat="1" applyFont="1" applyFill="1" applyBorder="1"/>
    <xf numFmtId="14" fontId="3" fillId="0" borderId="1" xfId="0" applyNumberFormat="1" applyFont="1" applyBorder="1"/>
    <xf numFmtId="14" fontId="3" fillId="3" borderId="2" xfId="0" applyNumberFormat="1" applyFont="1" applyFill="1" applyBorder="1"/>
    <xf numFmtId="0" fontId="0" fillId="0" borderId="3" xfId="0" applyBorder="1"/>
    <xf numFmtId="0" fontId="0" fillId="0" borderId="4" xfId="0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49" fontId="0" fillId="0" borderId="0" xfId="0" applyNumberFormat="1"/>
    <xf numFmtId="14" fontId="0" fillId="0" borderId="1" xfId="0" applyNumberFormat="1" applyBorder="1"/>
    <xf numFmtId="0" fontId="0" fillId="0" borderId="4" xfId="0" applyBorder="1" applyAlignment="1">
      <alignment vertical="center"/>
    </xf>
  </cellXfs>
  <cellStyles count="1">
    <cellStyle name="Normal" xfId="0" builtinId="0"/>
  </cellStyles>
  <dxfs count="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4430C2-C4C8-44A4-99DB-97BBA9D6B76F}" name="Duration" displayName="Duration" ref="A1:B13" totalsRowShown="0" tableBorderDxfId="2">
  <autoFilter ref="A1:B13" xr:uid="{304430C2-C4C8-44A4-99DB-97BBA9D6B76F}"/>
  <tableColumns count="2">
    <tableColumn id="1" xr3:uid="{A6387392-452E-4723-B2C9-F2B1C87D7E6C}" name="Months" dataDxfId="1"/>
    <tableColumn id="2" xr3:uid="{43C9E942-60F7-46C4-BE67-3F653482C29F}" name="year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24CB9-E605-4475-AF13-32C570D082DE}">
  <sheetPr codeName="Sheet1"/>
  <dimension ref="A1:BG12"/>
  <sheetViews>
    <sheetView tabSelected="1" workbookViewId="0">
      <pane xSplit="2" topLeftCell="S1" activePane="topRight" state="frozen"/>
      <selection pane="topRight" activeCell="B1" sqref="B1"/>
    </sheetView>
  </sheetViews>
  <sheetFormatPr defaultColWidth="7.5703125" defaultRowHeight="15" x14ac:dyDescent="0.25"/>
  <cols>
    <col min="2" max="2" width="27.140625" style="7" customWidth="1"/>
    <col min="3" max="32" width="11.28515625" customWidth="1"/>
    <col min="33" max="33" width="16.28515625" customWidth="1"/>
  </cols>
  <sheetData>
    <row r="1" spans="1:59" x14ac:dyDescent="0.25">
      <c r="A1" s="6" t="s">
        <v>23</v>
      </c>
      <c r="B1" s="7" t="s">
        <v>20</v>
      </c>
    </row>
    <row r="2" spans="1:59" x14ac:dyDescent="0.25">
      <c r="A2" s="6" t="s">
        <v>24</v>
      </c>
      <c r="B2" s="7">
        <v>2024</v>
      </c>
    </row>
    <row r="3" spans="1:59" hidden="1" x14ac:dyDescent="0.25">
      <c r="A3" t="s">
        <v>29</v>
      </c>
      <c r="B3" s="9">
        <f>DATE(B2,MONTH(B1&amp;1),1)</f>
        <v>45566</v>
      </c>
    </row>
    <row r="4" spans="1:59" hidden="1" x14ac:dyDescent="0.25">
      <c r="A4" s="5" t="s">
        <v>30</v>
      </c>
      <c r="B4" s="10">
        <f>EOMONTH(B3,0)</f>
        <v>45596</v>
      </c>
    </row>
    <row r="5" spans="1:59" x14ac:dyDescent="0.25">
      <c r="A5" s="5"/>
      <c r="B5" s="10"/>
    </row>
    <row r="6" spans="1:59" s="11" customFormat="1" x14ac:dyDescent="0.25">
      <c r="A6" s="19"/>
      <c r="B6" s="10"/>
      <c r="C6" s="11">
        <f>IF($B$3+COLUMNS($C6:C6)-1&gt;$B$4,"",$B$3+COLUMNS($C6:C6)-1)</f>
        <v>45566</v>
      </c>
      <c r="D6" s="11">
        <f>IF($B$3+COLUMNS($C6:D6)-1&gt;$B$4,"",$B$3+COLUMNS($C6:D6)-1)</f>
        <v>45567</v>
      </c>
      <c r="E6" s="11">
        <f>IF($B$3+COLUMNS($C6:E6)-1&gt;$B$4,"",$B$3+COLUMNS($C6:E6)-1)</f>
        <v>45568</v>
      </c>
      <c r="F6" s="11">
        <f>IF($B$3+COLUMNS($C6:F6)-1&gt;$B$4,"",$B$3+COLUMNS($C6:F6)-1)</f>
        <v>45569</v>
      </c>
      <c r="G6" s="11">
        <f>IF($B$3+COLUMNS($C6:G6)-1&gt;$B$4,"",$B$3+COLUMNS($C6:G6)-1)</f>
        <v>45570</v>
      </c>
      <c r="H6" s="11">
        <f>IF($B$3+COLUMNS($C6:H6)-1&gt;$B$4,"",$B$3+COLUMNS($C6:H6)-1)</f>
        <v>45571</v>
      </c>
      <c r="I6" s="11">
        <f>IF($B$3+COLUMNS($C6:I6)-1&gt;$B$4,"",$B$3+COLUMNS($C6:I6)-1)</f>
        <v>45572</v>
      </c>
      <c r="J6" s="11">
        <f>IF($B$3+COLUMNS($C6:J6)-1&gt;$B$4,"",$B$3+COLUMNS($C6:J6)-1)</f>
        <v>45573</v>
      </c>
      <c r="K6" s="11">
        <f>IF($B$3+COLUMNS($C6:K6)-1&gt;$B$4,"",$B$3+COLUMNS($C6:K6)-1)</f>
        <v>45574</v>
      </c>
      <c r="L6" s="11">
        <f>IF($B$3+COLUMNS($C6:L6)-1&gt;$B$4,"",$B$3+COLUMNS($C6:L6)-1)</f>
        <v>45575</v>
      </c>
      <c r="M6" s="11">
        <f>IF($B$3+COLUMNS($C6:M6)-1&gt;$B$4,"",$B$3+COLUMNS($C6:M6)-1)</f>
        <v>45576</v>
      </c>
      <c r="N6" s="11">
        <f>IF($B$3+COLUMNS($C6:N6)-1&gt;$B$4,"",$B$3+COLUMNS($C6:N6)-1)</f>
        <v>45577</v>
      </c>
      <c r="O6" s="11">
        <f>IF($B$3+COLUMNS($C6:O6)-1&gt;$B$4,"",$B$3+COLUMNS($C6:O6)-1)</f>
        <v>45578</v>
      </c>
      <c r="P6" s="11">
        <f>IF($B$3+COLUMNS($C6:P6)-1&gt;$B$4,"",$B$3+COLUMNS($C6:P6)-1)</f>
        <v>45579</v>
      </c>
      <c r="Q6" s="11">
        <f>IF($B$3+COLUMNS($C6:Q6)-1&gt;$B$4,"",$B$3+COLUMNS($C6:Q6)-1)</f>
        <v>45580</v>
      </c>
      <c r="R6" s="11">
        <f>IF($B$3+COLUMNS($C6:R6)-1&gt;$B$4,"",$B$3+COLUMNS($C6:R6)-1)</f>
        <v>45581</v>
      </c>
      <c r="S6" s="11">
        <f>IF($B$3+COLUMNS($C6:S6)-1&gt;$B$4,"",$B$3+COLUMNS($C6:S6)-1)</f>
        <v>45582</v>
      </c>
      <c r="T6" s="11">
        <f>IF($B$3+COLUMNS($C6:T6)-1&gt;$B$4,"",$B$3+COLUMNS($C6:T6)-1)</f>
        <v>45583</v>
      </c>
      <c r="U6" s="11">
        <f>IF($B$3+COLUMNS($C6:U6)-1&gt;$B$4,"",$B$3+COLUMNS($C6:U6)-1)</f>
        <v>45584</v>
      </c>
      <c r="V6" s="11">
        <f>IF($B$3+COLUMNS($C6:V6)-1&gt;$B$4,"",$B$3+COLUMNS($C6:V6)-1)</f>
        <v>45585</v>
      </c>
      <c r="W6" s="11">
        <f>IF($B$3+COLUMNS($C6:W6)-1&gt;$B$4,"",$B$3+COLUMNS($C6:W6)-1)</f>
        <v>45586</v>
      </c>
      <c r="X6" s="11">
        <f>IF($B$3+COLUMNS($C6:X6)-1&gt;$B$4,"",$B$3+COLUMNS($C6:X6)-1)</f>
        <v>45587</v>
      </c>
      <c r="Y6" s="11">
        <f>IF($B$3+COLUMNS($C6:Y6)-1&gt;$B$4,"",$B$3+COLUMNS($C6:Y6)-1)</f>
        <v>45588</v>
      </c>
      <c r="Z6" s="11">
        <f>IF($B$3+COLUMNS($C6:Z6)-1&gt;$B$4,"",$B$3+COLUMNS($C6:Z6)-1)</f>
        <v>45589</v>
      </c>
      <c r="AA6" s="11">
        <f>IF($B$3+COLUMNS($C6:AA6)-1&gt;$B$4,"",$B$3+COLUMNS($C6:AA6)-1)</f>
        <v>45590</v>
      </c>
      <c r="AB6" s="11">
        <f>IF($B$3+COLUMNS($C6:AB6)-1&gt;$B$4,"",$B$3+COLUMNS($C6:AB6)-1)</f>
        <v>45591</v>
      </c>
      <c r="AC6" s="11">
        <f>IF($B$3+COLUMNS($C6:AC6)-1&gt;$B$4,"",$B$3+COLUMNS($C6:AC6)-1)</f>
        <v>45592</v>
      </c>
      <c r="AD6" s="11">
        <f>IF($B$3+COLUMNS($C6:AD6)-1&gt;$B$4,"",$B$3+COLUMNS($C6:AD6)-1)</f>
        <v>45593</v>
      </c>
      <c r="AE6" s="11">
        <f>IF($B$3+COLUMNS($C6:AE6)-1&gt;$B$4,"",$B$3+COLUMNS($C6:AE6)-1)</f>
        <v>45594</v>
      </c>
      <c r="AF6" s="11">
        <f>IF($B$3+COLUMNS($C6:AF6)-1&gt;$B$4,"",$B$3+COLUMNS($C6:AF6)-1)</f>
        <v>45595</v>
      </c>
      <c r="AG6" s="11">
        <f>IF($B$3+COLUMNS($C6:AG6)-1&gt;$B$4,"",$B$3+COLUMNS($C6:AG6)-1)</f>
        <v>45596</v>
      </c>
      <c r="AH6" s="11" t="str">
        <f>IF($B$3+COLUMNS($C6:AH6)-1&gt;$B$4,"",$B$3+COLUMNS($C6:AH6)-1)</f>
        <v/>
      </c>
      <c r="AI6" s="11" t="str">
        <f>IF($B$3+COLUMNS($C6:AI6)-1&gt;$B$4,"",$B$3+COLUMNS($C6:AI6)-1)</f>
        <v/>
      </c>
      <c r="AJ6" s="11" t="str">
        <f>IF($B$3+COLUMNS($C6:AJ6)-1&gt;$B$4,"",$B$3+COLUMNS($C6:AJ6)-1)</f>
        <v/>
      </c>
      <c r="AK6" s="11" t="str">
        <f>IF($B$3+COLUMNS($C6:AK6)-1&gt;$B$4,"",$B$3+COLUMNS($C6:AK6)-1)</f>
        <v/>
      </c>
      <c r="AL6" s="11" t="str">
        <f>IF($B$3+COLUMNS($C6:AL6)-1&gt;$B$4,"",$B$3+COLUMNS($C6:AL6)-1)</f>
        <v/>
      </c>
      <c r="AM6" s="11" t="str">
        <f>IF($B$3+COLUMNS($C6:AM6)-1&gt;$B$4,"",$B$3+COLUMNS($C6:AM6)-1)</f>
        <v/>
      </c>
      <c r="AN6" s="11" t="str">
        <f>IF($B$3+COLUMNS($C6:AN6)-1&gt;$B$4,"",$B$3+COLUMNS($C6:AN6)-1)</f>
        <v/>
      </c>
      <c r="AO6" s="11" t="str">
        <f>IF($B$3+COLUMNS($C6:AO6)-1&gt;$B$4,"",$B$3+COLUMNS($C6:AO6)-1)</f>
        <v/>
      </c>
      <c r="AP6" s="11" t="str">
        <f>IF($B$3+COLUMNS($C6:AP6)-1&gt;$B$4,"",$B$3+COLUMNS($C6:AP6)-1)</f>
        <v/>
      </c>
      <c r="AQ6" s="11" t="str">
        <f>IF($B$3+COLUMNS($C6:AQ6)-1&gt;$B$4,"",$B$3+COLUMNS($C6:AQ6)-1)</f>
        <v/>
      </c>
      <c r="AR6" s="11" t="str">
        <f>IF($B$3+COLUMNS($C6:AR6)-1&gt;$B$4,"",$B$3+COLUMNS($C6:AR6)-1)</f>
        <v/>
      </c>
      <c r="AS6" s="11" t="str">
        <f>IF($B$3+COLUMNS($C6:AS6)-1&gt;$B$4,"",$B$3+COLUMNS($C6:AS6)-1)</f>
        <v/>
      </c>
      <c r="AT6" s="11" t="str">
        <f>IF($B$3+COLUMNS($C6:AT6)-1&gt;$B$4,"",$B$3+COLUMNS($C6:AT6)-1)</f>
        <v/>
      </c>
      <c r="AU6" s="11" t="str">
        <f>IF($B$3+COLUMNS($C6:AU6)-1&gt;$B$4,"",$B$3+COLUMNS($C6:AU6)-1)</f>
        <v/>
      </c>
      <c r="AV6" s="11" t="str">
        <f>IF($B$3+COLUMNS($C6:AV6)-1&gt;$B$4,"",$B$3+COLUMNS($C6:AV6)-1)</f>
        <v/>
      </c>
      <c r="AW6" s="11" t="str">
        <f>IF($B$3+COLUMNS($C6:AW6)-1&gt;$B$4,"",$B$3+COLUMNS($C6:AW6)-1)</f>
        <v/>
      </c>
      <c r="AX6" s="11" t="str">
        <f>IF($B$3+COLUMNS($C6:AX6)-1&gt;$B$4,"",$B$3+COLUMNS($C6:AX6)-1)</f>
        <v/>
      </c>
      <c r="AY6" s="11" t="str">
        <f>IF($B$3+COLUMNS($C6:AY6)-1&gt;$B$4,"",$B$3+COLUMNS($C6:AY6)-1)</f>
        <v/>
      </c>
      <c r="AZ6" s="11" t="str">
        <f>IF($B$3+COLUMNS($C6:AZ6)-1&gt;$B$4,"",$B$3+COLUMNS($C6:AZ6)-1)</f>
        <v/>
      </c>
      <c r="BA6" s="11" t="str">
        <f>IF($B$3+COLUMNS($C6:BA6)-1&gt;$B$4,"",$B$3+COLUMNS($C6:BA6)-1)</f>
        <v/>
      </c>
      <c r="BB6" s="11" t="str">
        <f>IF($B$3+COLUMNS($C6:BB6)-1&gt;$B$4,"",$B$3+COLUMNS($C6:BB6)-1)</f>
        <v/>
      </c>
      <c r="BC6" s="11" t="str">
        <f>IF($B$3+COLUMNS($C6:BC6)-1&gt;$B$4,"",$B$3+COLUMNS($C6:BC6)-1)</f>
        <v/>
      </c>
      <c r="BD6" s="11" t="str">
        <f>IF($B$3+COLUMNS($C6:BD6)-1&gt;$B$4,"",$B$3+COLUMNS($C6:BD6)-1)</f>
        <v/>
      </c>
      <c r="BE6" s="11" t="str">
        <f>IF($B$3+COLUMNS($C6:BE6)-1&gt;$B$4,"",$B$3+COLUMNS($C6:BE6)-1)</f>
        <v/>
      </c>
      <c r="BF6" s="11" t="str">
        <f>IF($B$3+COLUMNS($C6:BF6)-1&gt;$B$4,"",$B$3+COLUMNS($C6:BF6)-1)</f>
        <v/>
      </c>
      <c r="BG6" s="11" t="str">
        <f>IF($B$3+COLUMNS($C6:BG6)-1&gt;$B$4,"",$B$3+COLUMNS($C6:BG6)-1)</f>
        <v/>
      </c>
    </row>
    <row r="7" spans="1:59" s="7" customFormat="1" x14ac:dyDescent="0.25">
      <c r="A7" s="16"/>
      <c r="B7" s="8" t="s">
        <v>1</v>
      </c>
      <c r="C7" s="7" t="str">
        <f>TEXT(C6,"dd")</f>
        <v>01</v>
      </c>
      <c r="D7" s="7" t="str">
        <f t="shared" ref="D7:AE7" si="0">TEXT(D6,"dd")</f>
        <v>02</v>
      </c>
      <c r="E7" s="7" t="str">
        <f t="shared" si="0"/>
        <v>03</v>
      </c>
      <c r="F7" s="7" t="str">
        <f>TEXT(F6,"dd")</f>
        <v>04</v>
      </c>
      <c r="G7" s="7" t="str">
        <f t="shared" si="0"/>
        <v>05</v>
      </c>
      <c r="H7" s="7" t="str">
        <f t="shared" si="0"/>
        <v>06</v>
      </c>
      <c r="I7" s="7" t="str">
        <f t="shared" si="0"/>
        <v>07</v>
      </c>
      <c r="J7" s="7" t="str">
        <f t="shared" si="0"/>
        <v>08</v>
      </c>
      <c r="K7" s="7" t="str">
        <f t="shared" si="0"/>
        <v>09</v>
      </c>
      <c r="L7" s="7" t="str">
        <f t="shared" si="0"/>
        <v>10</v>
      </c>
      <c r="M7" s="7" t="str">
        <f t="shared" si="0"/>
        <v>11</v>
      </c>
      <c r="N7" s="7" t="str">
        <f t="shared" si="0"/>
        <v>12</v>
      </c>
      <c r="O7" s="7" t="str">
        <f t="shared" si="0"/>
        <v>13</v>
      </c>
      <c r="P7" s="7" t="str">
        <f t="shared" si="0"/>
        <v>14</v>
      </c>
      <c r="Q7" s="7" t="str">
        <f t="shared" si="0"/>
        <v>15</v>
      </c>
      <c r="R7" s="7" t="str">
        <f t="shared" si="0"/>
        <v>16</v>
      </c>
      <c r="S7" s="7" t="str">
        <f t="shared" si="0"/>
        <v>17</v>
      </c>
      <c r="T7" s="7" t="str">
        <f t="shared" si="0"/>
        <v>18</v>
      </c>
      <c r="U7" s="7" t="str">
        <f t="shared" si="0"/>
        <v>19</v>
      </c>
      <c r="V7" s="7" t="str">
        <f t="shared" si="0"/>
        <v>20</v>
      </c>
      <c r="W7" s="7" t="str">
        <f t="shared" si="0"/>
        <v>21</v>
      </c>
      <c r="X7" s="7" t="str">
        <f t="shared" si="0"/>
        <v>22</v>
      </c>
      <c r="Y7" s="7" t="str">
        <f t="shared" si="0"/>
        <v>23</v>
      </c>
      <c r="Z7" s="7" t="str">
        <f t="shared" si="0"/>
        <v>24</v>
      </c>
      <c r="AA7" s="7" t="str">
        <f t="shared" si="0"/>
        <v>25</v>
      </c>
      <c r="AB7" s="7" t="str">
        <f t="shared" si="0"/>
        <v>26</v>
      </c>
      <c r="AC7" s="7" t="str">
        <f t="shared" si="0"/>
        <v>27</v>
      </c>
      <c r="AD7" s="7" t="str">
        <f t="shared" si="0"/>
        <v>28</v>
      </c>
      <c r="AE7" s="7" t="str">
        <f t="shared" si="0"/>
        <v>29</v>
      </c>
      <c r="AF7" s="7" t="str">
        <f t="shared" ref="AF7" si="1">TEXT(AF6,"dd")</f>
        <v>30</v>
      </c>
      <c r="AG7" s="7" t="str">
        <f t="shared" ref="AG7" si="2">TEXT(AG6,"dd")</f>
        <v>31</v>
      </c>
    </row>
    <row r="8" spans="1:59" s="7" customFormat="1" x14ac:dyDescent="0.25">
      <c r="A8" s="16"/>
      <c r="B8" s="8" t="s">
        <v>31</v>
      </c>
      <c r="C8" s="9" t="str">
        <f>TEXT(C6,"ddd")</f>
        <v>Tue</v>
      </c>
      <c r="D8" s="9" t="str">
        <f t="shared" ref="D8:AW8" si="3">TEXT(D6,"ddd")</f>
        <v>Wed</v>
      </c>
      <c r="E8" s="9" t="str">
        <f t="shared" si="3"/>
        <v>Thu</v>
      </c>
      <c r="F8" s="9" t="str">
        <f t="shared" si="3"/>
        <v>Fri</v>
      </c>
      <c r="G8" s="9" t="str">
        <f t="shared" si="3"/>
        <v>Sat</v>
      </c>
      <c r="H8" s="9" t="str">
        <f t="shared" si="3"/>
        <v>Sun</v>
      </c>
      <c r="I8" s="9" t="str">
        <f t="shared" si="3"/>
        <v>Mon</v>
      </c>
      <c r="J8" s="9" t="str">
        <f t="shared" si="3"/>
        <v>Tue</v>
      </c>
      <c r="K8" s="9" t="str">
        <f t="shared" si="3"/>
        <v>Wed</v>
      </c>
      <c r="L8" s="9" t="str">
        <f t="shared" si="3"/>
        <v>Thu</v>
      </c>
      <c r="M8" s="9" t="str">
        <f t="shared" si="3"/>
        <v>Fri</v>
      </c>
      <c r="N8" s="9" t="str">
        <f t="shared" si="3"/>
        <v>Sat</v>
      </c>
      <c r="O8" s="9" t="str">
        <f t="shared" si="3"/>
        <v>Sun</v>
      </c>
      <c r="P8" s="9" t="str">
        <f t="shared" si="3"/>
        <v>Mon</v>
      </c>
      <c r="Q8" s="9" t="str">
        <f t="shared" si="3"/>
        <v>Tue</v>
      </c>
      <c r="R8" s="9" t="str">
        <f t="shared" si="3"/>
        <v>Wed</v>
      </c>
      <c r="S8" s="9" t="str">
        <f t="shared" si="3"/>
        <v>Thu</v>
      </c>
      <c r="T8" s="9" t="str">
        <f t="shared" si="3"/>
        <v>Fri</v>
      </c>
      <c r="U8" s="9" t="str">
        <f t="shared" si="3"/>
        <v>Sat</v>
      </c>
      <c r="V8" s="9" t="str">
        <f t="shared" si="3"/>
        <v>Sun</v>
      </c>
      <c r="W8" s="9" t="str">
        <f t="shared" si="3"/>
        <v>Mon</v>
      </c>
      <c r="X8" s="9" t="str">
        <f t="shared" si="3"/>
        <v>Tue</v>
      </c>
      <c r="Y8" s="9" t="str">
        <f t="shared" si="3"/>
        <v>Wed</v>
      </c>
      <c r="Z8" s="9" t="str">
        <f t="shared" si="3"/>
        <v>Thu</v>
      </c>
      <c r="AA8" s="9" t="str">
        <f t="shared" si="3"/>
        <v>Fri</v>
      </c>
      <c r="AB8" s="9" t="str">
        <f t="shared" si="3"/>
        <v>Sat</v>
      </c>
      <c r="AC8" s="9" t="str">
        <f t="shared" si="3"/>
        <v>Sun</v>
      </c>
      <c r="AD8" s="9" t="str">
        <f t="shared" si="3"/>
        <v>Mon</v>
      </c>
      <c r="AE8" s="9" t="str">
        <f t="shared" si="3"/>
        <v>Tue</v>
      </c>
      <c r="AF8" s="9" t="str">
        <f t="shared" si="3"/>
        <v>Wed</v>
      </c>
      <c r="AG8" s="9" t="str">
        <f t="shared" si="3"/>
        <v>Thu</v>
      </c>
      <c r="AH8" s="9"/>
      <c r="AI8" s="9" t="str">
        <f t="shared" si="3"/>
        <v/>
      </c>
      <c r="AJ8" s="9" t="str">
        <f t="shared" si="3"/>
        <v/>
      </c>
      <c r="AK8" s="9" t="str">
        <f t="shared" si="3"/>
        <v/>
      </c>
      <c r="AL8" s="9" t="str">
        <f t="shared" si="3"/>
        <v/>
      </c>
      <c r="AM8" s="9" t="str">
        <f t="shared" si="3"/>
        <v/>
      </c>
      <c r="AN8" s="9" t="str">
        <f t="shared" si="3"/>
        <v/>
      </c>
      <c r="AO8" s="9" t="str">
        <f t="shared" si="3"/>
        <v/>
      </c>
      <c r="AP8" s="9" t="str">
        <f t="shared" si="3"/>
        <v/>
      </c>
      <c r="AQ8" s="9" t="str">
        <f t="shared" si="3"/>
        <v/>
      </c>
      <c r="AR8" s="9" t="str">
        <f t="shared" si="3"/>
        <v/>
      </c>
      <c r="AS8" s="9" t="str">
        <f t="shared" si="3"/>
        <v/>
      </c>
      <c r="AT8" s="9" t="str">
        <f t="shared" si="3"/>
        <v/>
      </c>
      <c r="AU8" s="9" t="str">
        <f t="shared" si="3"/>
        <v/>
      </c>
      <c r="AV8" s="9" t="str">
        <f t="shared" si="3"/>
        <v/>
      </c>
      <c r="AW8" s="9" t="str">
        <f t="shared" si="3"/>
        <v/>
      </c>
    </row>
    <row r="9" spans="1:59" x14ac:dyDescent="0.25">
      <c r="A9" s="20" t="s">
        <v>25</v>
      </c>
      <c r="B9" s="5" t="s">
        <v>26</v>
      </c>
      <c r="C9" t="s">
        <v>36</v>
      </c>
      <c r="D9" t="s">
        <v>35</v>
      </c>
      <c r="E9" t="s">
        <v>37</v>
      </c>
      <c r="F9" t="s">
        <v>37</v>
      </c>
      <c r="G9" t="s">
        <v>41</v>
      </c>
      <c r="H9" t="s">
        <v>42</v>
      </c>
      <c r="I9" t="s">
        <v>36</v>
      </c>
      <c r="J9" t="s">
        <v>35</v>
      </c>
      <c r="K9" t="s">
        <v>37</v>
      </c>
      <c r="L9" t="s">
        <v>42</v>
      </c>
      <c r="M9" t="s">
        <v>35</v>
      </c>
      <c r="N9" t="s">
        <v>42</v>
      </c>
      <c r="O9" t="s">
        <v>42</v>
      </c>
      <c r="P9" t="s">
        <v>36</v>
      </c>
      <c r="Q9" t="s">
        <v>35</v>
      </c>
      <c r="R9" t="s">
        <v>37</v>
      </c>
      <c r="S9" t="s">
        <v>35</v>
      </c>
      <c r="T9" t="s">
        <v>35</v>
      </c>
      <c r="U9" t="s">
        <v>42</v>
      </c>
      <c r="V9" t="s">
        <v>42</v>
      </c>
      <c r="W9" t="s">
        <v>36</v>
      </c>
      <c r="X9" t="s">
        <v>35</v>
      </c>
      <c r="Y9" t="s">
        <v>35</v>
      </c>
      <c r="Z9" t="s">
        <v>35</v>
      </c>
      <c r="AA9" t="s">
        <v>35</v>
      </c>
      <c r="AB9" t="s">
        <v>42</v>
      </c>
      <c r="AC9" t="s">
        <v>42</v>
      </c>
      <c r="AD9" t="s">
        <v>36</v>
      </c>
      <c r="AE9" t="s">
        <v>37</v>
      </c>
      <c r="AF9" t="s">
        <v>35</v>
      </c>
      <c r="AG9" t="s">
        <v>37</v>
      </c>
    </row>
    <row r="10" spans="1:59" x14ac:dyDescent="0.25">
      <c r="A10" s="20"/>
      <c r="B10" s="5" t="s">
        <v>27</v>
      </c>
      <c r="C10" t="s">
        <v>35</v>
      </c>
      <c r="D10" t="s">
        <v>36</v>
      </c>
      <c r="E10" t="s">
        <v>35</v>
      </c>
      <c r="F10" t="s">
        <v>35</v>
      </c>
      <c r="G10" t="s">
        <v>42</v>
      </c>
      <c r="H10" t="s">
        <v>42</v>
      </c>
      <c r="I10" t="s">
        <v>35</v>
      </c>
      <c r="J10" t="s">
        <v>36</v>
      </c>
      <c r="K10" t="s">
        <v>35</v>
      </c>
      <c r="L10" t="s">
        <v>42</v>
      </c>
      <c r="M10" t="s">
        <v>37</v>
      </c>
      <c r="N10" t="s">
        <v>41</v>
      </c>
      <c r="O10" t="s">
        <v>42</v>
      </c>
      <c r="P10" t="s">
        <v>35</v>
      </c>
      <c r="Q10" t="s">
        <v>36</v>
      </c>
      <c r="R10" t="s">
        <v>35</v>
      </c>
      <c r="S10" t="s">
        <v>37</v>
      </c>
      <c r="T10" t="s">
        <v>37</v>
      </c>
      <c r="U10" t="s">
        <v>42</v>
      </c>
      <c r="V10" t="s">
        <v>42</v>
      </c>
      <c r="W10" t="s">
        <v>37</v>
      </c>
      <c r="X10" t="s">
        <v>36</v>
      </c>
      <c r="Y10" t="s">
        <v>37</v>
      </c>
      <c r="Z10" t="s">
        <v>37</v>
      </c>
      <c r="AA10" t="s">
        <v>37</v>
      </c>
      <c r="AB10" t="s">
        <v>42</v>
      </c>
      <c r="AC10" t="s">
        <v>42</v>
      </c>
      <c r="AD10" t="s">
        <v>35</v>
      </c>
      <c r="AE10" t="s">
        <v>36</v>
      </c>
      <c r="AF10" t="s">
        <v>37</v>
      </c>
      <c r="AG10" t="s">
        <v>35</v>
      </c>
    </row>
    <row r="11" spans="1:59" x14ac:dyDescent="0.25">
      <c r="A11" s="20"/>
      <c r="B11" s="5" t="s">
        <v>28</v>
      </c>
      <c r="C11" t="s">
        <v>37</v>
      </c>
      <c r="D11" t="s">
        <v>37</v>
      </c>
      <c r="E11" t="s">
        <v>36</v>
      </c>
      <c r="F11" t="s">
        <v>35</v>
      </c>
      <c r="G11" t="s">
        <v>42</v>
      </c>
      <c r="H11" t="s">
        <v>42</v>
      </c>
      <c r="I11" t="s">
        <v>37</v>
      </c>
      <c r="J11" t="s">
        <v>37</v>
      </c>
      <c r="K11" t="s">
        <v>36</v>
      </c>
      <c r="L11" t="s">
        <v>42</v>
      </c>
      <c r="M11" t="s">
        <v>35</v>
      </c>
      <c r="N11" t="s">
        <v>42</v>
      </c>
      <c r="O11" t="s">
        <v>42</v>
      </c>
      <c r="P11" t="s">
        <v>37</v>
      </c>
      <c r="Q11" t="s">
        <v>37</v>
      </c>
      <c r="R11" t="s">
        <v>36</v>
      </c>
      <c r="S11" t="s">
        <v>35</v>
      </c>
      <c r="T11" t="s">
        <v>37</v>
      </c>
      <c r="U11" t="s">
        <v>41</v>
      </c>
      <c r="V11" t="s">
        <v>42</v>
      </c>
      <c r="W11" t="s">
        <v>37</v>
      </c>
      <c r="X11" t="s">
        <v>37</v>
      </c>
      <c r="Y11" t="s">
        <v>36</v>
      </c>
      <c r="Z11" t="s">
        <v>37</v>
      </c>
      <c r="AA11" t="s">
        <v>37</v>
      </c>
      <c r="AB11" t="s">
        <v>42</v>
      </c>
      <c r="AC11" t="s">
        <v>42</v>
      </c>
      <c r="AD11" t="s">
        <v>37</v>
      </c>
      <c r="AE11" t="s">
        <v>35</v>
      </c>
      <c r="AF11" t="s">
        <v>36</v>
      </c>
      <c r="AG11" t="s">
        <v>35</v>
      </c>
    </row>
    <row r="12" spans="1:59" x14ac:dyDescent="0.25">
      <c r="B12" s="17" t="s">
        <v>34</v>
      </c>
      <c r="C12" t="s">
        <v>35</v>
      </c>
      <c r="D12" t="s">
        <v>37</v>
      </c>
      <c r="E12" t="s">
        <v>35</v>
      </c>
      <c r="F12" t="s">
        <v>36</v>
      </c>
      <c r="G12" t="s">
        <v>42</v>
      </c>
      <c r="H12" t="s">
        <v>42</v>
      </c>
      <c r="I12" t="s">
        <v>37</v>
      </c>
      <c r="J12" t="s">
        <v>35</v>
      </c>
      <c r="K12" t="s">
        <v>37</v>
      </c>
      <c r="L12" t="s">
        <v>42</v>
      </c>
      <c r="M12" t="s">
        <v>43</v>
      </c>
      <c r="N12" t="s">
        <v>43</v>
      </c>
      <c r="O12" t="s">
        <v>42</v>
      </c>
      <c r="P12" t="s">
        <v>43</v>
      </c>
      <c r="Q12" t="s">
        <v>43</v>
      </c>
      <c r="R12" t="s">
        <v>35</v>
      </c>
      <c r="S12" t="s">
        <v>36</v>
      </c>
      <c r="T12" t="s">
        <v>35</v>
      </c>
      <c r="U12" t="s">
        <v>42</v>
      </c>
      <c r="V12" t="s">
        <v>42</v>
      </c>
      <c r="W12" t="s">
        <v>37</v>
      </c>
      <c r="X12" t="s">
        <v>37</v>
      </c>
      <c r="Y12" t="s">
        <v>37</v>
      </c>
      <c r="Z12" t="s">
        <v>36</v>
      </c>
      <c r="AA12" t="s">
        <v>37</v>
      </c>
      <c r="AB12" t="s">
        <v>41</v>
      </c>
      <c r="AC12" t="s">
        <v>42</v>
      </c>
      <c r="AD12" t="s">
        <v>35</v>
      </c>
      <c r="AE12" t="s">
        <v>35</v>
      </c>
      <c r="AF12" t="s">
        <v>35</v>
      </c>
      <c r="AG12" t="s">
        <v>36</v>
      </c>
    </row>
  </sheetData>
  <mergeCells count="1">
    <mergeCell ref="A9:A11"/>
  </mergeCells>
  <phoneticPr fontId="4" type="noConversion"/>
  <conditionalFormatting sqref="C7:AG7 C8:AF10 AG8">
    <cfRule type="expression" dxfId="7" priority="6">
      <formula>C6="Sat"</formula>
    </cfRule>
  </conditionalFormatting>
  <conditionalFormatting sqref="C7:AG7 C8:AF11 AG8">
    <cfRule type="expression" dxfId="6" priority="2">
      <formula>C$8="sun"</formula>
    </cfRule>
    <cfRule type="expression" dxfId="5" priority="4">
      <formula>C$8="Sun"</formula>
    </cfRule>
    <cfRule type="expression" dxfId="4" priority="5">
      <formula>C$8="Sat"</formula>
    </cfRule>
  </conditionalFormatting>
  <conditionalFormatting sqref="C7:AG7 AG8 C8:AF11">
    <cfRule type="expression" priority="3">
      <formula>C$8="sat"</formula>
    </cfRule>
  </conditionalFormatting>
  <conditionalFormatting sqref="F7:F12">
    <cfRule type="expression" dxfId="3" priority="1">
      <formula>$C$8:$AG$8=Sat</formula>
    </cfRule>
  </conditionalFormatting>
  <dataValidations count="2">
    <dataValidation type="list" allowBlank="1" showInputMessage="1" showErrorMessage="1" sqref="E16:E22" xr:uid="{CFF1B82C-A855-465E-9DBA-DFDC0429A87F}">
      <formula1>"Yes, No"</formula1>
    </dataValidation>
    <dataValidation type="list" allowBlank="1" showInputMessage="1" showErrorMessage="1" sqref="B2" xr:uid="{7EE3BBEA-C6E8-4932-BE86-3DD28EDB5879}">
      <formula1>INDIRECT("Duration[[#All],[years]]")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error="You didn't  select anything" promptTitle="Selection" prompt="please select the month from the list" xr:uid="{D6A83609-83EF-4D09-80C8-4ECC761082DB}">
          <x14:formula1>
            <xm:f>Duration!$A$2:$A$13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F070-0310-4339-8A35-C8F2740E3E7C}">
  <sheetPr codeName="Sheet2"/>
  <dimension ref="A1:B10"/>
  <sheetViews>
    <sheetView workbookViewId="0">
      <selection activeCell="C25" sqref="C25"/>
    </sheetView>
  </sheetViews>
  <sheetFormatPr defaultRowHeight="15" x14ac:dyDescent="0.25"/>
  <cols>
    <col min="2" max="2" width="11.7109375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2" t="s">
        <v>2</v>
      </c>
      <c r="B2" s="12">
        <v>45292</v>
      </c>
    </row>
    <row r="3" spans="1:2" x14ac:dyDescent="0.25">
      <c r="A3" s="3" t="s">
        <v>3</v>
      </c>
      <c r="B3" s="13">
        <v>45444</v>
      </c>
    </row>
    <row r="4" spans="1:2" x14ac:dyDescent="0.25">
      <c r="A4" s="2" t="s">
        <v>4</v>
      </c>
      <c r="B4" s="12">
        <v>45413</v>
      </c>
    </row>
    <row r="5" spans="1:2" x14ac:dyDescent="0.25">
      <c r="A5" s="3" t="s">
        <v>5</v>
      </c>
      <c r="B5" s="13">
        <v>45383</v>
      </c>
    </row>
    <row r="6" spans="1:2" x14ac:dyDescent="0.25">
      <c r="A6" s="2" t="s">
        <v>6</v>
      </c>
      <c r="B6" s="12">
        <v>45585</v>
      </c>
    </row>
    <row r="7" spans="1:2" x14ac:dyDescent="0.25">
      <c r="A7" s="3" t="s">
        <v>7</v>
      </c>
      <c r="B7" s="13">
        <v>45638</v>
      </c>
    </row>
    <row r="8" spans="1:2" x14ac:dyDescent="0.25">
      <c r="A8" s="2" t="s">
        <v>8</v>
      </c>
      <c r="B8" s="12">
        <v>45380</v>
      </c>
    </row>
    <row r="9" spans="1:2" x14ac:dyDescent="0.25">
      <c r="A9" s="3" t="s">
        <v>9</v>
      </c>
      <c r="B9" s="13">
        <v>45651</v>
      </c>
    </row>
    <row r="10" spans="1:2" x14ac:dyDescent="0.25">
      <c r="A10" s="4" t="s">
        <v>10</v>
      </c>
      <c r="B10" s="14">
        <v>45575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598A-0A3B-45DE-837C-BE57DEF60A55}">
  <sheetPr codeName="Sheet3"/>
  <dimension ref="A1:B13"/>
  <sheetViews>
    <sheetView workbookViewId="0">
      <selection activeCell="B27" sqref="B27"/>
    </sheetView>
  </sheetViews>
  <sheetFormatPr defaultRowHeight="15" x14ac:dyDescent="0.25"/>
  <cols>
    <col min="1" max="1" width="14.7109375" customWidth="1"/>
  </cols>
  <sheetData>
    <row r="1" spans="1:2" x14ac:dyDescent="0.25">
      <c r="A1" t="s">
        <v>32</v>
      </c>
      <c r="B1" t="s">
        <v>33</v>
      </c>
    </row>
    <row r="2" spans="1:2" x14ac:dyDescent="0.25">
      <c r="A2" s="5" t="s">
        <v>11</v>
      </c>
      <c r="B2" s="5">
        <v>2024</v>
      </c>
    </row>
    <row r="3" spans="1:2" x14ac:dyDescent="0.25">
      <c r="A3" s="5" t="s">
        <v>12</v>
      </c>
      <c r="B3" s="5">
        <v>2025</v>
      </c>
    </row>
    <row r="4" spans="1:2" x14ac:dyDescent="0.25">
      <c r="A4" s="5" t="s">
        <v>13</v>
      </c>
      <c r="B4" s="5">
        <v>2026</v>
      </c>
    </row>
    <row r="5" spans="1:2" x14ac:dyDescent="0.25">
      <c r="A5" s="5" t="s">
        <v>14</v>
      </c>
      <c r="B5" s="5">
        <v>2027</v>
      </c>
    </row>
    <row r="6" spans="1:2" x14ac:dyDescent="0.25">
      <c r="A6" s="5" t="s">
        <v>15</v>
      </c>
      <c r="B6" s="5">
        <v>2028</v>
      </c>
    </row>
    <row r="7" spans="1:2" x14ac:dyDescent="0.25">
      <c r="A7" s="5" t="s">
        <v>16</v>
      </c>
      <c r="B7" s="5">
        <v>2029</v>
      </c>
    </row>
    <row r="8" spans="1:2" x14ac:dyDescent="0.25">
      <c r="A8" s="5" t="s">
        <v>17</v>
      </c>
      <c r="B8" s="5">
        <v>2030</v>
      </c>
    </row>
    <row r="9" spans="1:2" x14ac:dyDescent="0.25">
      <c r="A9" s="5" t="s">
        <v>18</v>
      </c>
      <c r="B9" s="5">
        <v>2031</v>
      </c>
    </row>
    <row r="10" spans="1:2" x14ac:dyDescent="0.25">
      <c r="A10" s="5" t="s">
        <v>19</v>
      </c>
      <c r="B10" s="5">
        <v>2032</v>
      </c>
    </row>
    <row r="11" spans="1:2" x14ac:dyDescent="0.25">
      <c r="A11" s="5" t="s">
        <v>20</v>
      </c>
      <c r="B11" s="5">
        <v>2033</v>
      </c>
    </row>
    <row r="12" spans="1:2" x14ac:dyDescent="0.25">
      <c r="A12" s="5" t="s">
        <v>21</v>
      </c>
      <c r="B12" s="5">
        <v>2034</v>
      </c>
    </row>
    <row r="13" spans="1:2" x14ac:dyDescent="0.25">
      <c r="A13" s="15" t="s">
        <v>22</v>
      </c>
      <c r="B13" s="15">
        <v>2035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F97AB-AAF1-4D8E-B380-5D44B8034DF4}">
  <sheetPr codeName="Sheet4"/>
  <dimension ref="A1:C3"/>
  <sheetViews>
    <sheetView workbookViewId="0">
      <selection activeCell="C3" sqref="C3"/>
    </sheetView>
  </sheetViews>
  <sheetFormatPr defaultRowHeight="15" x14ac:dyDescent="0.25"/>
  <cols>
    <col min="1" max="1" width="20.28515625" style="18" customWidth="1"/>
    <col min="2" max="2" width="20.140625" style="11" customWidth="1"/>
    <col min="3" max="3" width="17.140625" style="11" customWidth="1"/>
  </cols>
  <sheetData>
    <row r="1" spans="1:3" x14ac:dyDescent="0.25">
      <c r="A1" s="18" t="s">
        <v>38</v>
      </c>
      <c r="B1" s="11" t="s">
        <v>39</v>
      </c>
      <c r="C1" s="11" t="s">
        <v>40</v>
      </c>
    </row>
    <row r="2" spans="1:3" x14ac:dyDescent="0.25">
      <c r="A2" s="18" t="s">
        <v>34</v>
      </c>
      <c r="B2" s="11">
        <v>45575</v>
      </c>
      <c r="C2" s="11">
        <v>45580</v>
      </c>
    </row>
    <row r="3" spans="1:3" x14ac:dyDescent="0.25">
      <c r="A3" s="18" t="s">
        <v>26</v>
      </c>
      <c r="B3" s="11">
        <v>45606</v>
      </c>
      <c r="C3" s="11">
        <v>45609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YearlySchedule</vt:lpstr>
      <vt:lpstr>Holidays</vt:lpstr>
      <vt:lpstr>Duration</vt:lpstr>
      <vt:lpstr>Leave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EUNICE</dc:creator>
  <cp:lastModifiedBy>Eunice EW. Wangui</cp:lastModifiedBy>
  <dcterms:created xsi:type="dcterms:W3CDTF">2024-03-11T15:58:52Z</dcterms:created>
  <dcterms:modified xsi:type="dcterms:W3CDTF">2024-09-30T11:32:19Z</dcterms:modified>
</cp:coreProperties>
</file>